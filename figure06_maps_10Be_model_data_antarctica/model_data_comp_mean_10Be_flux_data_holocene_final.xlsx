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cauquoin/Documents/Mes_manuscrits/10Be_Holocene_Antarctica/figures/figure06_maps_10Be_model_data_antarctica/"/>
    </mc:Choice>
  </mc:AlternateContent>
  <xr:revisionPtr revIDLastSave="0" documentId="13_ncr:1_{224CC8CF-940E-D144-AA82-0C7564EC47AC}" xr6:coauthVersionLast="47" xr6:coauthVersionMax="47" xr10:uidLastSave="{00000000-0000-0000-0000-000000000000}"/>
  <bookViews>
    <workbookView xWindow="9580" yWindow="3660" windowWidth="31560" windowHeight="16440" xr2:uid="{E2820EBF-6D30-244A-9364-248DB28BA56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2" i="1"/>
  <c r="G15" i="1" l="1"/>
  <c r="D15" i="1"/>
  <c r="G14" i="1"/>
  <c r="I3" i="1"/>
  <c r="I4" i="1"/>
  <c r="I5" i="1"/>
  <c r="I6" i="1"/>
  <c r="I7" i="1"/>
  <c r="I8" i="1"/>
  <c r="I9" i="1"/>
  <c r="I10" i="1"/>
  <c r="I11" i="1"/>
  <c r="I12" i="1"/>
  <c r="I2" i="1"/>
  <c r="K5" i="1"/>
  <c r="K6" i="1"/>
  <c r="K7" i="1"/>
  <c r="K8" i="1"/>
  <c r="K9" i="1"/>
  <c r="K10" i="1"/>
  <c r="J3" i="1"/>
  <c r="J4" i="1"/>
  <c r="J5" i="1"/>
  <c r="J6" i="1"/>
  <c r="J7" i="1"/>
  <c r="J8" i="1"/>
  <c r="J9" i="1"/>
  <c r="J10" i="1"/>
  <c r="J11" i="1"/>
  <c r="J12" i="1"/>
  <c r="J2" i="1"/>
  <c r="H3" i="1"/>
  <c r="H4" i="1"/>
  <c r="H5" i="1"/>
  <c r="H6" i="1"/>
  <c r="H7" i="1"/>
  <c r="H8" i="1"/>
  <c r="H9" i="1"/>
  <c r="H10" i="1"/>
  <c r="H11" i="1"/>
  <c r="H12" i="1"/>
  <c r="H2" i="1"/>
  <c r="K3" i="1"/>
  <c r="K4" i="1"/>
  <c r="K11" i="1"/>
  <c r="K12" i="1"/>
  <c r="K2" i="1"/>
  <c r="D14" i="1" l="1"/>
</calcChain>
</file>

<file path=xl/sharedStrings.xml><?xml version="1.0" encoding="utf-8"?>
<sst xmlns="http://schemas.openxmlformats.org/spreadsheetml/2006/main" count="21" uniqueCount="21">
  <si>
    <t>Conc. obs.</t>
  </si>
  <si>
    <t>Accu. obs.</t>
  </si>
  <si>
    <t>Conc. mod.</t>
  </si>
  <si>
    <t>Accu. mod.</t>
  </si>
  <si>
    <t>Flux mod.</t>
  </si>
  <si>
    <t>Rconc</t>
  </si>
  <si>
    <t>Raccu</t>
  </si>
  <si>
    <t>Rflux</t>
  </si>
  <si>
    <t>Siple Dome</t>
  </si>
  <si>
    <t>WD</t>
  </si>
  <si>
    <t>SPICE</t>
  </si>
  <si>
    <t>EDML</t>
  </si>
  <si>
    <t>EDC</t>
  </si>
  <si>
    <t>LDC</t>
  </si>
  <si>
    <t>ODC</t>
  </si>
  <si>
    <t>Vostok</t>
  </si>
  <si>
    <t>Dome F</t>
  </si>
  <si>
    <t>Dome A</t>
  </si>
  <si>
    <t>Site</t>
  </si>
  <si>
    <t>Flux obs</t>
  </si>
  <si>
    <t>PS1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</si>
</sst>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8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 vertical="center" wrapText="1"/>
    </xf>
    <xf numFmtId="2" fontId="0" fillId="0" borderId="0" xfId="0" applyNumberFormat="1"/>
    <xf numFmtId="0" fontId="1" fillId="0" borderId="2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 wrapText="1"/>
    </xf>
    <xf numFmtId="2" fontId="3" fillId="0" borderId="7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99E86-D6F1-1147-9B20-0D4FACF27928}">
  <dimension ref="A1:K15"/>
  <sheetViews>
    <sheetView tabSelected="1" zoomScale="200" zoomScaleNormal="200" workbookViewId="0">
      <selection activeCell="D7" sqref="D7"/>
    </sheetView>
  </sheetViews>
  <sheetFormatPr baseColWidth="10" defaultRowHeight="16" x14ac:dyDescent="0.2"/>
  <cols>
    <col min="4" max="4" width="11.6640625" style="2" bestFit="1" customWidth="1"/>
    <col min="9" max="11" width="10.83203125" style="2"/>
  </cols>
  <sheetData>
    <row r="1" spans="1:11" x14ac:dyDescent="0.2">
      <c r="A1" s="3" t="s">
        <v>18</v>
      </c>
      <c r="B1" s="3" t="s">
        <v>0</v>
      </c>
      <c r="C1" s="3" t="s">
        <v>1</v>
      </c>
      <c r="D1" s="6" t="s">
        <v>19</v>
      </c>
      <c r="E1" s="14" t="s">
        <v>2</v>
      </c>
      <c r="F1" s="3" t="s">
        <v>3</v>
      </c>
      <c r="G1" s="3" t="s">
        <v>4</v>
      </c>
      <c r="H1" s="7"/>
      <c r="I1" s="17" t="s">
        <v>5</v>
      </c>
      <c r="J1" s="4" t="s">
        <v>6</v>
      </c>
      <c r="K1" s="20" t="s">
        <v>7</v>
      </c>
    </row>
    <row r="2" spans="1:11" x14ac:dyDescent="0.2">
      <c r="A2" s="1" t="s">
        <v>8</v>
      </c>
      <c r="B2" s="1">
        <v>0.23799999999999999</v>
      </c>
      <c r="C2" s="1">
        <v>14.2</v>
      </c>
      <c r="D2" s="8">
        <f>B2*100000*(C2/(365*24*3600)*10000)</f>
        <v>107.16641298833079</v>
      </c>
      <c r="E2" s="15">
        <v>0.254</v>
      </c>
      <c r="F2" s="1">
        <v>15.31</v>
      </c>
      <c r="G2" s="1">
        <v>123.19</v>
      </c>
      <c r="H2" s="9">
        <f>G2/F2/E2</f>
        <v>31.678641410842587</v>
      </c>
      <c r="I2" s="18">
        <f>E2/B2</f>
        <v>1.0672268907563025</v>
      </c>
      <c r="J2" s="8">
        <f t="shared" ref="J2:K2" si="0">F2/C2</f>
        <v>1.078169014084507</v>
      </c>
      <c r="K2" s="21">
        <f t="shared" si="0"/>
        <v>1.1495206059888745</v>
      </c>
    </row>
    <row r="3" spans="1:11" x14ac:dyDescent="0.2">
      <c r="A3" s="1" t="s">
        <v>9</v>
      </c>
      <c r="B3" s="1">
        <v>0.14299999999999999</v>
      </c>
      <c r="C3" s="1">
        <v>20.100000000000001</v>
      </c>
      <c r="D3" s="8">
        <f t="shared" ref="D3:D12" si="1">B3*100000*(C3/(365*24*3600)*10000)</f>
        <v>91.143455098934552</v>
      </c>
      <c r="E3" s="15">
        <v>0.23300000000000001</v>
      </c>
      <c r="F3" s="1">
        <v>17.36</v>
      </c>
      <c r="G3" s="1">
        <v>128.38999999999999</v>
      </c>
      <c r="H3" s="9">
        <f t="shared" ref="H3:H12" si="2">G3/F3/E3</f>
        <v>31.741361919265835</v>
      </c>
      <c r="I3" s="18">
        <f t="shared" ref="I3:I12" si="3">E3/B3</f>
        <v>1.6293706293706296</v>
      </c>
      <c r="J3" s="8">
        <f t="shared" ref="J3:J12" si="4">F3/C3</f>
        <v>0.86368159203980088</v>
      </c>
      <c r="K3" s="21">
        <f t="shared" ref="K3:K12" si="5">G3/D3</f>
        <v>1.4086584698883204</v>
      </c>
    </row>
    <row r="4" spans="1:11" x14ac:dyDescent="0.2">
      <c r="A4" s="1" t="s">
        <v>20</v>
      </c>
      <c r="B4" s="1">
        <v>0.39</v>
      </c>
      <c r="C4" s="1">
        <v>8.7200000000000006</v>
      </c>
      <c r="D4" s="8">
        <f t="shared" si="1"/>
        <v>107.83866057838662</v>
      </c>
      <c r="E4" s="15">
        <v>0.39900000000000002</v>
      </c>
      <c r="F4" s="1">
        <v>5.28</v>
      </c>
      <c r="G4" s="1">
        <v>66.88</v>
      </c>
      <c r="H4" s="9">
        <f t="shared" si="2"/>
        <v>31.746031746031743</v>
      </c>
      <c r="I4" s="18">
        <f t="shared" si="3"/>
        <v>1.023076923076923</v>
      </c>
      <c r="J4" s="8">
        <f t="shared" si="4"/>
        <v>0.60550458715596334</v>
      </c>
      <c r="K4" s="21">
        <f t="shared" si="5"/>
        <v>0.62018574453069852</v>
      </c>
    </row>
    <row r="5" spans="1:11" x14ac:dyDescent="0.2">
      <c r="A5" s="1" t="s">
        <v>10</v>
      </c>
      <c r="B5" s="1">
        <v>0.34899999999999998</v>
      </c>
      <c r="C5" s="1">
        <v>8.16</v>
      </c>
      <c r="D5" s="8">
        <f t="shared" si="1"/>
        <v>90.304414003044144</v>
      </c>
      <c r="E5" s="15">
        <v>0.33600000000000002</v>
      </c>
      <c r="F5" s="1">
        <v>5.33</v>
      </c>
      <c r="G5" s="1">
        <v>56.78</v>
      </c>
      <c r="H5" s="9">
        <f t="shared" si="2"/>
        <v>31.705083534351825</v>
      </c>
      <c r="I5" s="18">
        <f t="shared" si="3"/>
        <v>0.9627507163323783</v>
      </c>
      <c r="J5" s="8">
        <f t="shared" si="4"/>
        <v>0.65318627450980393</v>
      </c>
      <c r="K5" s="21">
        <f t="shared" si="5"/>
        <v>0.62876217765042974</v>
      </c>
    </row>
    <row r="6" spans="1:11" x14ac:dyDescent="0.2">
      <c r="A6" s="23" t="s">
        <v>11</v>
      </c>
      <c r="B6" s="23">
        <v>0.39900000000000002</v>
      </c>
      <c r="C6" s="23">
        <v>6.28</v>
      </c>
      <c r="D6" s="24">
        <f t="shared" si="1"/>
        <v>79.455859969558603</v>
      </c>
      <c r="E6" s="15">
        <v>0.48299999999999998</v>
      </c>
      <c r="F6" s="1">
        <v>5.75</v>
      </c>
      <c r="G6" s="1">
        <v>87.95</v>
      </c>
      <c r="H6" s="9">
        <f t="shared" si="2"/>
        <v>31.668016923215415</v>
      </c>
      <c r="I6" s="18">
        <f t="shared" si="3"/>
        <v>1.2105263157894737</v>
      </c>
      <c r="J6" s="8">
        <f t="shared" si="4"/>
        <v>0.91560509554140124</v>
      </c>
      <c r="K6" s="21">
        <f t="shared" si="5"/>
        <v>1.1069038839136056</v>
      </c>
    </row>
    <row r="7" spans="1:11" x14ac:dyDescent="0.2">
      <c r="A7" s="23" t="s">
        <v>12</v>
      </c>
      <c r="B7" s="23">
        <v>0.67700000000000005</v>
      </c>
      <c r="C7" s="23">
        <v>2.5</v>
      </c>
      <c r="D7" s="24">
        <f t="shared" si="1"/>
        <v>53.668822932521564</v>
      </c>
      <c r="E7" s="15">
        <v>0.57499999999999996</v>
      </c>
      <c r="F7" s="1">
        <v>2.97</v>
      </c>
      <c r="G7" s="1">
        <v>54.13</v>
      </c>
      <c r="H7" s="9">
        <f t="shared" si="2"/>
        <v>31.69667691406822</v>
      </c>
      <c r="I7" s="18">
        <f t="shared" si="3"/>
        <v>0.84933530280649916</v>
      </c>
      <c r="J7" s="8">
        <f t="shared" si="4"/>
        <v>1.1880000000000002</v>
      </c>
      <c r="K7" s="21">
        <f t="shared" si="5"/>
        <v>1.0085930162481536</v>
      </c>
    </row>
    <row r="8" spans="1:11" x14ac:dyDescent="0.2">
      <c r="A8" s="23" t="s">
        <v>13</v>
      </c>
      <c r="B8" s="23">
        <v>0.59</v>
      </c>
      <c r="C8" s="23">
        <v>2.31</v>
      </c>
      <c r="D8" s="24">
        <f t="shared" si="1"/>
        <v>43.217275494672755</v>
      </c>
      <c r="E8" s="15">
        <v>0.57499999999999996</v>
      </c>
      <c r="F8" s="1">
        <v>2.97</v>
      </c>
      <c r="G8" s="1">
        <v>54.13</v>
      </c>
      <c r="H8" s="9">
        <f t="shared" si="2"/>
        <v>31.69667691406822</v>
      </c>
      <c r="I8" s="18">
        <f t="shared" si="3"/>
        <v>0.97457627118644063</v>
      </c>
      <c r="J8" s="8">
        <f t="shared" si="4"/>
        <v>1.2857142857142858</v>
      </c>
      <c r="K8" s="21">
        <f t="shared" si="5"/>
        <v>1.2525083865287256</v>
      </c>
    </row>
    <row r="9" spans="1:11" x14ac:dyDescent="0.2">
      <c r="A9" s="23" t="s">
        <v>14</v>
      </c>
      <c r="B9" s="23">
        <v>0.51</v>
      </c>
      <c r="C9" s="23">
        <v>2.99</v>
      </c>
      <c r="D9" s="24">
        <f t="shared" si="1"/>
        <v>48.354261796042621</v>
      </c>
      <c r="E9" s="15">
        <v>0.46800000000000003</v>
      </c>
      <c r="F9" s="1">
        <v>4.84</v>
      </c>
      <c r="G9" s="1">
        <v>71.78</v>
      </c>
      <c r="H9" s="9">
        <f t="shared" si="2"/>
        <v>31.689270325633963</v>
      </c>
      <c r="I9" s="18">
        <f t="shared" si="3"/>
        <v>0.91764705882352948</v>
      </c>
      <c r="J9" s="8">
        <f t="shared" si="4"/>
        <v>1.6187290969899664</v>
      </c>
      <c r="K9" s="21">
        <f t="shared" si="5"/>
        <v>1.4844606728310052</v>
      </c>
    </row>
    <row r="10" spans="1:11" x14ac:dyDescent="0.2">
      <c r="A10" s="1" t="s">
        <v>15</v>
      </c>
      <c r="B10" s="1">
        <v>0.88100000000000001</v>
      </c>
      <c r="C10" s="1">
        <v>1.93</v>
      </c>
      <c r="D10" s="8">
        <f t="shared" si="1"/>
        <v>53.917110603754438</v>
      </c>
      <c r="E10" s="15">
        <v>0.81699999999999995</v>
      </c>
      <c r="F10" s="1">
        <v>1.73</v>
      </c>
      <c r="G10" s="1">
        <v>44.83</v>
      </c>
      <c r="H10" s="9">
        <f t="shared" si="2"/>
        <v>31.717619091417212</v>
      </c>
      <c r="I10" s="18">
        <f t="shared" si="3"/>
        <v>0.92735527809307594</v>
      </c>
      <c r="J10" s="8">
        <f t="shared" si="4"/>
        <v>0.89637305699481862</v>
      </c>
      <c r="K10" s="21">
        <f t="shared" si="5"/>
        <v>0.8314614692442055</v>
      </c>
    </row>
    <row r="11" spans="1:11" x14ac:dyDescent="0.2">
      <c r="A11" s="1" t="s">
        <v>16</v>
      </c>
      <c r="B11" s="1">
        <v>0.87</v>
      </c>
      <c r="C11" s="1">
        <v>3.21</v>
      </c>
      <c r="D11" s="8">
        <f t="shared" si="1"/>
        <v>88.555936073059357</v>
      </c>
      <c r="E11" s="15">
        <v>0.69</v>
      </c>
      <c r="F11" s="1">
        <v>2.57</v>
      </c>
      <c r="G11" s="1">
        <v>56.16</v>
      </c>
      <c r="H11" s="9">
        <f t="shared" si="2"/>
        <v>31.669768228726106</v>
      </c>
      <c r="I11" s="18">
        <f t="shared" si="3"/>
        <v>0.79310344827586199</v>
      </c>
      <c r="J11" s="8">
        <f t="shared" si="4"/>
        <v>0.80062305295950154</v>
      </c>
      <c r="K11" s="21">
        <f t="shared" si="5"/>
        <v>0.63417544311956175</v>
      </c>
    </row>
    <row r="12" spans="1:11" x14ac:dyDescent="0.2">
      <c r="A12" s="5" t="s">
        <v>17</v>
      </c>
      <c r="B12" s="5">
        <v>1.012</v>
      </c>
      <c r="C12" s="5">
        <v>2.29</v>
      </c>
      <c r="D12" s="10">
        <f t="shared" si="1"/>
        <v>73.486808726534761</v>
      </c>
      <c r="E12" s="16">
        <v>0.77</v>
      </c>
      <c r="F12" s="5">
        <v>2.5</v>
      </c>
      <c r="G12" s="5">
        <v>61.16</v>
      </c>
      <c r="H12" s="11">
        <f t="shared" si="2"/>
        <v>31.771428571428569</v>
      </c>
      <c r="I12" s="19">
        <f t="shared" si="3"/>
        <v>0.76086956521739135</v>
      </c>
      <c r="J12" s="10">
        <f t="shared" si="4"/>
        <v>1.0917030567685588</v>
      </c>
      <c r="K12" s="22">
        <f t="shared" si="5"/>
        <v>0.83225821150560075</v>
      </c>
    </row>
    <row r="13" spans="1:11" x14ac:dyDescent="0.2">
      <c r="A13" s="9"/>
      <c r="B13" s="9"/>
      <c r="C13" s="9"/>
      <c r="D13" s="8"/>
      <c r="E13" s="9"/>
      <c r="F13" s="9"/>
      <c r="G13" s="9"/>
      <c r="H13" s="9"/>
      <c r="I13" s="8"/>
      <c r="J13" s="8"/>
      <c r="K13" s="8"/>
    </row>
    <row r="14" spans="1:11" x14ac:dyDescent="0.2">
      <c r="A14" s="9"/>
      <c r="B14" s="9"/>
      <c r="C14" s="9"/>
      <c r="D14" s="12">
        <f>D11/D7</f>
        <v>1.6500443131462332</v>
      </c>
      <c r="E14" s="9"/>
      <c r="F14" s="9"/>
      <c r="G14" s="12">
        <f>G11/G7</f>
        <v>1.037502309255496</v>
      </c>
      <c r="H14" s="9"/>
      <c r="I14" s="8"/>
      <c r="J14" s="8"/>
      <c r="K14" s="8"/>
    </row>
    <row r="15" spans="1:11" x14ac:dyDescent="0.2">
      <c r="A15" s="9"/>
      <c r="B15" s="9"/>
      <c r="C15" s="9"/>
      <c r="D15" s="12">
        <f>AVERAGE(D2:D12)</f>
        <v>76.10081984225819</v>
      </c>
      <c r="E15" s="9"/>
      <c r="F15" s="9"/>
      <c r="G15" s="13">
        <f>AVERAGE(G2:G12)</f>
        <v>73.216363636363639</v>
      </c>
      <c r="H15" s="9"/>
      <c r="I15" s="8"/>
      <c r="J15" s="8"/>
      <c r="K1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Jouzel2</dc:creator>
  <cp:lastModifiedBy>CAUQUOIN ALEXANDRE P</cp:lastModifiedBy>
  <dcterms:created xsi:type="dcterms:W3CDTF">2025-07-06T13:12:07Z</dcterms:created>
  <dcterms:modified xsi:type="dcterms:W3CDTF">2025-10-23T02:01:17Z</dcterms:modified>
</cp:coreProperties>
</file>