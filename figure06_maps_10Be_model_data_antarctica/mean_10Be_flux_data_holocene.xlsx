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auquoin/Documents/Mes_manuscrits/10Be_Holocene_Antarctica/10Be_zheng/E63H23/Control/"/>
    </mc:Choice>
  </mc:AlternateContent>
  <xr:revisionPtr revIDLastSave="0" documentId="13_ncr:1_{872F3A9E-9335-1846-A507-67E30761E148}" xr6:coauthVersionLast="47" xr6:coauthVersionMax="47" xr10:uidLastSave="{00000000-0000-0000-0000-000000000000}"/>
  <bookViews>
    <workbookView xWindow="53980" yWindow="5760" windowWidth="30240" windowHeight="18000" activeTab="3" xr2:uid="{A06651D7-E61B-914F-8DD8-2D93BC2CF469}"/>
  </bookViews>
  <sheets>
    <sheet name="table S1" sheetId="1" r:id="rId1"/>
    <sheet name="comparaison ECHAM5-données" sheetId="2" r:id="rId2"/>
    <sheet name="comparaison ECHAM6-données old" sheetId="3" r:id="rId3"/>
    <sheet name="comp ECHAM6-data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4" l="1"/>
  <c r="H10" i="4"/>
  <c r="H9" i="4"/>
  <c r="H8" i="4"/>
  <c r="H7" i="4"/>
  <c r="H6" i="4"/>
  <c r="H5" i="4"/>
  <c r="H4" i="4"/>
  <c r="H3" i="4"/>
  <c r="H2" i="4"/>
  <c r="G10" i="1"/>
  <c r="G9" i="1"/>
  <c r="G8" i="1"/>
  <c r="G7" i="1"/>
  <c r="G6" i="1"/>
  <c r="G5" i="1"/>
  <c r="G4" i="1"/>
  <c r="G3" i="1"/>
  <c r="G2" i="1"/>
  <c r="H3" i="3"/>
  <c r="H4" i="3"/>
  <c r="H5" i="3"/>
  <c r="H6" i="3"/>
  <c r="H8" i="3"/>
  <c r="H9" i="3"/>
  <c r="H12" i="3"/>
  <c r="H13" i="3"/>
  <c r="H2" i="3"/>
  <c r="J15" i="3"/>
  <c r="F14" i="2"/>
</calcChain>
</file>

<file path=xl/sharedStrings.xml><?xml version="1.0" encoding="utf-8"?>
<sst xmlns="http://schemas.openxmlformats.org/spreadsheetml/2006/main" count="109" uniqueCount="42">
  <si>
    <t>Site</t>
  </si>
  <si>
    <t>lat</t>
  </si>
  <si>
    <t>lon</t>
  </si>
  <si>
    <t>10Be_conc</t>
  </si>
  <si>
    <t>accu</t>
  </si>
  <si>
    <t>Vostok</t>
  </si>
  <si>
    <t>Dome C</t>
  </si>
  <si>
    <t>South Pole</t>
  </si>
  <si>
    <t>Dome F</t>
  </si>
  <si>
    <t>Taylor Dome</t>
  </si>
  <si>
    <t>WAIS</t>
  </si>
  <si>
    <t>EDML</t>
  </si>
  <si>
    <t>Law Dome</t>
  </si>
  <si>
    <t>Talos Dome</t>
  </si>
  <si>
    <t>Siple Dome</t>
  </si>
  <si>
    <t>10Be_conc (10^5 at/g)</t>
  </si>
  <si>
    <t>accu (g/cm2/yr)</t>
  </si>
  <si>
    <t>Dome A</t>
  </si>
  <si>
    <t>10Be_flux_observed</t>
  </si>
  <si>
    <t>10Be flux</t>
  </si>
  <si>
    <t>at/m2/s</t>
  </si>
  <si>
    <t>10^5 at/g</t>
  </si>
  <si>
    <t>g/cm2/yr</t>
  </si>
  <si>
    <t>10Be_flux_echam5_PD</t>
  </si>
  <si>
    <t>10Be_flux_echam5_PI</t>
  </si>
  <si>
    <t>10Be_flux_observed (at/m2/s)</t>
  </si>
  <si>
    <t>10Be_echam6_drydep (at/m2/s)</t>
  </si>
  <si>
    <t>10Be_echam6_wetdep (at/m2/s)</t>
  </si>
  <si>
    <t>10Be_echam6_seddep (at/m2/s)</t>
  </si>
  <si>
    <t>10Be_echam6_totdep (at/m2/s)</t>
  </si>
  <si>
    <t>accu_echam6 (g/cm2/yr)</t>
  </si>
  <si>
    <t>10Be flux / accu echam6 (10^5 at/g)</t>
  </si>
  <si>
    <t>Altitude ECHAM6 T63L47 (m)</t>
  </si>
  <si>
    <t>10Be_conc corr (10^5 at/g)</t>
  </si>
  <si>
    <t>Little Dome C</t>
  </si>
  <si>
    <t>corr period</t>
  </si>
  <si>
    <t>standard</t>
  </si>
  <si>
    <t>accu observed (g/cm2/yr)</t>
  </si>
  <si>
    <t>10Be_conc observed(10^5 at/g)</t>
  </si>
  <si>
    <t>10Be_conc observed</t>
  </si>
  <si>
    <t>10Be_conc corr</t>
  </si>
  <si>
    <t>accu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</si>
</sst>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Aptos Narrow"/>
      <family val="2"/>
    </font>
    <font>
      <sz val="12"/>
      <color theme="0" tint="-0.34998626667073579"/>
      <name val="Calibri (Corps)"/>
    </font>
    <font>
      <b/>
      <sz val="12"/>
      <color theme="0" tint="-0.34998626667073579"/>
      <name val="Calibri (Corps)"/>
    </font>
    <font>
      <sz val="12"/>
      <color theme="0" tint="-0.34998626667073579"/>
      <name val="Calibri"/>
      <family val="2"/>
      <scheme val="minor"/>
    </font>
    <font>
      <sz val="12"/>
      <color theme="0" tint="-0.34998626667073579"/>
      <name val="Aptos Narrow"/>
      <family val="2"/>
    </font>
    <font>
      <sz val="12"/>
      <color theme="0" tint="-0.34998626667073579"/>
      <name val="Calibri"/>
      <family val="2"/>
    </font>
    <font>
      <b/>
      <sz val="12"/>
      <color theme="0" tint="-0.34998626667073579"/>
      <name val="Calibri"/>
      <family val="2"/>
    </font>
    <font>
      <b/>
      <sz val="12"/>
      <color theme="0" tint="-0.34998626667073579"/>
      <name val="Calibri"/>
      <family val="2"/>
      <scheme val="minor"/>
    </font>
    <font>
      <sz val="12"/>
      <name val="Calibri (Corps)"/>
    </font>
    <font>
      <b/>
      <sz val="12"/>
      <name val="Calibri (Corps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6" fillId="0" borderId="0" xfId="0" applyFont="1" applyAlignment="1">
      <alignment horizontal="justify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Model-data comparison (echam6 10Be tot dep)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269369888699552E-2"/>
          <c:y val="7.3266998341625228E-2"/>
          <c:w val="0.88733848132217585"/>
          <c:h val="0.721597785351457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'comparaison ECHAM6-données old'!$N$1</c:f>
              <c:strCache>
                <c:ptCount val="1"/>
                <c:pt idx="0">
                  <c:v>10Be_echam6_totdep (at/m2/s)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173498235599727"/>
                  <c:y val="-0.159422833339862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'comparaison ECHAM6-données old'!$J$2:$J$13</c:f>
              <c:numCache>
                <c:formatCode>General</c:formatCode>
                <c:ptCount val="12"/>
                <c:pt idx="0">
                  <c:v>57.394723490613899</c:v>
                </c:pt>
                <c:pt idx="1">
                  <c:v>60.248604769152713</c:v>
                </c:pt>
                <c:pt idx="2">
                  <c:v>86.884830035514966</c:v>
                </c:pt>
                <c:pt idx="3">
                  <c:v>96.080669710806703</c:v>
                </c:pt>
                <c:pt idx="4">
                  <c:v>70.395738203957393</c:v>
                </c:pt>
                <c:pt idx="5">
                  <c:v>39.954337899543376</c:v>
                </c:pt>
                <c:pt idx="6">
                  <c:v>105.59360730593608</c:v>
                </c:pt>
                <c:pt idx="7">
                  <c:v>84.348046676813794</c:v>
                </c:pt>
                <c:pt idx="8">
                  <c:v>126.83916793505834</c:v>
                </c:pt>
                <c:pt idx="11">
                  <c:v>98.93455098934551</c:v>
                </c:pt>
              </c:numCache>
            </c:numRef>
          </c:xVal>
          <c:yVal>
            <c:numRef>
              <c:f>'comparaison ECHAM6-données old'!$N$2:$N$13</c:f>
              <c:numCache>
                <c:formatCode>General</c:formatCode>
                <c:ptCount val="12"/>
                <c:pt idx="0">
                  <c:v>44.833747863769503</c:v>
                </c:pt>
                <c:pt idx="1">
                  <c:v>54.129932403564403</c:v>
                </c:pt>
                <c:pt idx="2">
                  <c:v>84.946670532226506</c:v>
                </c:pt>
                <c:pt idx="3">
                  <c:v>56.1589965820312</c:v>
                </c:pt>
                <c:pt idx="4">
                  <c:v>61.161350250244098</c:v>
                </c:pt>
                <c:pt idx="5">
                  <c:v>83.463821411132798</c:v>
                </c:pt>
                <c:pt idx="6">
                  <c:v>128.38720703125</c:v>
                </c:pt>
                <c:pt idx="7">
                  <c:v>87.951232910156193</c:v>
                </c:pt>
                <c:pt idx="8">
                  <c:v>265.685302734375</c:v>
                </c:pt>
                <c:pt idx="9">
                  <c:v>82.312294006347599</c:v>
                </c:pt>
                <c:pt idx="11">
                  <c:v>123.194648742675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3-C240-9515-27ABA95B5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356511"/>
        <c:axId val="1468368543"/>
      </c:scatterChart>
      <c:valAx>
        <c:axId val="1468356511"/>
        <c:scaling>
          <c:orientation val="minMax"/>
          <c:max val="3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10Be_flux_observed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8368543"/>
        <c:crosses val="autoZero"/>
        <c:crossBetween val="midCat"/>
      </c:valAx>
      <c:valAx>
        <c:axId val="1468368543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10Be_echam6_totdep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835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Model-data comparison (echam6 10Be tot dep - without Law Dome)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'comparaison ECHAM6-données old'!$N$1</c:f>
              <c:strCache>
                <c:ptCount val="1"/>
                <c:pt idx="0">
                  <c:v>10Be_echam6_totdep (at/m2/s)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025747424245493"/>
                  <c:y val="-0.138202687350648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('comparaison ECHAM6-données old'!$J$2:$J$9,'comparaison ECHAM6-données old'!$J$13)</c:f>
              <c:numCache>
                <c:formatCode>General</c:formatCode>
                <c:ptCount val="9"/>
                <c:pt idx="0">
                  <c:v>57.394723490613899</c:v>
                </c:pt>
                <c:pt idx="1">
                  <c:v>60.248604769152713</c:v>
                </c:pt>
                <c:pt idx="2">
                  <c:v>86.884830035514966</c:v>
                </c:pt>
                <c:pt idx="3">
                  <c:v>96.080669710806703</c:v>
                </c:pt>
                <c:pt idx="4">
                  <c:v>70.395738203957393</c:v>
                </c:pt>
                <c:pt idx="5">
                  <c:v>39.954337899543376</c:v>
                </c:pt>
                <c:pt idx="6">
                  <c:v>105.59360730593608</c:v>
                </c:pt>
                <c:pt idx="7">
                  <c:v>84.348046676813794</c:v>
                </c:pt>
                <c:pt idx="8">
                  <c:v>98.93455098934551</c:v>
                </c:pt>
              </c:numCache>
            </c:numRef>
          </c:xVal>
          <c:yVal>
            <c:numRef>
              <c:f>('comparaison ECHAM6-données old'!$N$2:$N$9,'comparaison ECHAM6-données old'!$N$13)</c:f>
              <c:numCache>
                <c:formatCode>General</c:formatCode>
                <c:ptCount val="9"/>
                <c:pt idx="0">
                  <c:v>44.833747863769503</c:v>
                </c:pt>
                <c:pt idx="1">
                  <c:v>54.129932403564403</c:v>
                </c:pt>
                <c:pt idx="2">
                  <c:v>84.946670532226506</c:v>
                </c:pt>
                <c:pt idx="3">
                  <c:v>56.1589965820312</c:v>
                </c:pt>
                <c:pt idx="4">
                  <c:v>61.161350250244098</c:v>
                </c:pt>
                <c:pt idx="5">
                  <c:v>83.463821411132798</c:v>
                </c:pt>
                <c:pt idx="6">
                  <c:v>128.38720703125</c:v>
                </c:pt>
                <c:pt idx="7">
                  <c:v>87.951232910156193</c:v>
                </c:pt>
                <c:pt idx="8">
                  <c:v>123.194648742675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F3-3247-8003-1752A5429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356511"/>
        <c:axId val="1468368543"/>
      </c:scatterChart>
      <c:valAx>
        <c:axId val="1468356511"/>
        <c:scaling>
          <c:orientation val="minMax"/>
          <c:max val="1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10Be_flux_observed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8368543"/>
        <c:crosses val="autoZero"/>
        <c:crossBetween val="midCat"/>
      </c:valAx>
      <c:valAx>
        <c:axId val="1468368543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10Be_echam6_totdep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835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20</xdr:row>
      <xdr:rowOff>12700</xdr:rowOff>
    </xdr:from>
    <xdr:to>
      <xdr:col>6</xdr:col>
      <xdr:colOff>2019300</xdr:colOff>
      <xdr:row>38</xdr:row>
      <xdr:rowOff>184150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3A724A9-6E3E-FA12-C4D0-5DDEAC356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774700</xdr:colOff>
      <xdr:row>19</xdr:row>
      <xdr:rowOff>139700</xdr:rowOff>
    </xdr:from>
    <xdr:to>
      <xdr:col>11</xdr:col>
      <xdr:colOff>876300</xdr:colOff>
      <xdr:row>38</xdr:row>
      <xdr:rowOff>107950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AE32B8D-4EC1-3849-91D4-6982CA1E0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9F47-5D51-4442-B13C-7B5B3BD4F140}">
  <dimension ref="A1:K10"/>
  <sheetViews>
    <sheetView workbookViewId="0">
      <selection activeCell="K1" sqref="K1:K10"/>
    </sheetView>
  </sheetViews>
  <sheetFormatPr baseColWidth="10" defaultRowHeight="16" x14ac:dyDescent="0.2"/>
  <cols>
    <col min="1" max="1" width="14.33203125" customWidth="1"/>
    <col min="3" max="3" width="9.5" bestFit="1" customWidth="1"/>
    <col min="4" max="4" width="27.6640625" bestFit="1" customWidth="1"/>
    <col min="5" max="5" width="8.33203125" bestFit="1" customWidth="1"/>
    <col min="6" max="6" width="10" bestFit="1" customWidth="1"/>
    <col min="7" max="7" width="23.83203125" bestFit="1" customWidth="1"/>
    <col min="8" max="8" width="22.5" bestFit="1" customWidth="1"/>
    <col min="9" max="9" width="26.83203125" bestFit="1" customWidth="1"/>
    <col min="11" max="11" width="25.33203125" bestFit="1" customWidth="1"/>
  </cols>
  <sheetData>
    <row r="1" spans="1:11" x14ac:dyDescent="0.2">
      <c r="A1" s="4" t="s">
        <v>0</v>
      </c>
      <c r="B1" s="5" t="s">
        <v>1</v>
      </c>
      <c r="C1" s="5" t="s">
        <v>2</v>
      </c>
      <c r="D1" s="5" t="s">
        <v>38</v>
      </c>
      <c r="E1" s="5" t="s">
        <v>36</v>
      </c>
      <c r="F1" s="5" t="s">
        <v>35</v>
      </c>
      <c r="G1" s="5" t="s">
        <v>33</v>
      </c>
      <c r="H1" s="5" t="s">
        <v>37</v>
      </c>
      <c r="I1" s="5" t="s">
        <v>25</v>
      </c>
      <c r="K1" s="5" t="s">
        <v>32</v>
      </c>
    </row>
    <row r="2" spans="1:11" ht="17" x14ac:dyDescent="0.2">
      <c r="A2" s="6" t="s">
        <v>5</v>
      </c>
      <c r="B2" s="7">
        <v>-78.466667000000001</v>
      </c>
      <c r="C2" s="7">
        <v>106.8</v>
      </c>
      <c r="D2" s="7">
        <v>0.88</v>
      </c>
      <c r="E2" s="7">
        <v>1</v>
      </c>
      <c r="F2" s="7">
        <v>1</v>
      </c>
      <c r="G2" s="7">
        <f>D2*F2*E2</f>
        <v>0.88</v>
      </c>
      <c r="H2" s="7">
        <v>2.0979999999999999</v>
      </c>
      <c r="I2" s="7">
        <v>58.539000000000001</v>
      </c>
      <c r="K2">
        <v>3413.8125</v>
      </c>
    </row>
    <row r="3" spans="1:11" ht="17" x14ac:dyDescent="0.2">
      <c r="A3" s="6" t="s">
        <v>6</v>
      </c>
      <c r="B3" s="7">
        <v>-74.650000000000006</v>
      </c>
      <c r="C3" s="7">
        <v>124.166667</v>
      </c>
      <c r="D3" s="7">
        <v>0.45400000000000001</v>
      </c>
      <c r="E3" s="7">
        <v>1</v>
      </c>
      <c r="F3" s="7">
        <v>1.1339999999999999</v>
      </c>
      <c r="G3" s="7">
        <f t="shared" ref="G3:G10" si="0">D3*F3*E3</f>
        <v>0.51483599999999996</v>
      </c>
      <c r="H3" s="7">
        <v>2.9220000000000002</v>
      </c>
      <c r="I3" s="7">
        <v>47.698</v>
      </c>
      <c r="K3">
        <v>3165.26342773437</v>
      </c>
    </row>
    <row r="4" spans="1:11" ht="17" x14ac:dyDescent="0.2">
      <c r="A4" s="6" t="s">
        <v>7</v>
      </c>
      <c r="B4" s="7">
        <v>-90</v>
      </c>
      <c r="C4" s="7">
        <v>0</v>
      </c>
      <c r="D4" s="7">
        <v>0.39</v>
      </c>
      <c r="E4" s="7">
        <v>1</v>
      </c>
      <c r="F4" s="7">
        <v>1</v>
      </c>
      <c r="G4" s="7">
        <f t="shared" si="0"/>
        <v>0.39</v>
      </c>
      <c r="H4" s="7">
        <v>7.2</v>
      </c>
      <c r="I4" s="7">
        <v>89.042000000000002</v>
      </c>
      <c r="K4">
        <v>2579.38647460937</v>
      </c>
    </row>
    <row r="5" spans="1:11" ht="17" x14ac:dyDescent="0.2">
      <c r="A5" s="6" t="s">
        <v>8</v>
      </c>
      <c r="B5" s="7">
        <v>-77.316666999999995</v>
      </c>
      <c r="C5" s="7">
        <v>39.700000000000003</v>
      </c>
      <c r="D5" s="7">
        <v>0.97499999999999998</v>
      </c>
      <c r="E5" s="7">
        <v>0.89</v>
      </c>
      <c r="F5" s="7">
        <v>1</v>
      </c>
      <c r="G5" s="7">
        <f t="shared" si="0"/>
        <v>0.86775000000000002</v>
      </c>
      <c r="H5" s="7">
        <v>3.1739999999999999</v>
      </c>
      <c r="I5" s="7">
        <v>87.341999999999999</v>
      </c>
      <c r="K5">
        <v>3666.44873046875</v>
      </c>
    </row>
    <row r="6" spans="1:11" ht="17" x14ac:dyDescent="0.2">
      <c r="A6" s="6" t="s">
        <v>17</v>
      </c>
      <c r="B6" s="7">
        <v>-80.366667000000007</v>
      </c>
      <c r="C6" s="7">
        <v>77.349999999999994</v>
      </c>
      <c r="D6" s="2">
        <v>1.018</v>
      </c>
      <c r="E6" s="2">
        <v>1</v>
      </c>
      <c r="F6" s="2">
        <v>1</v>
      </c>
      <c r="G6" s="7">
        <f t="shared" si="0"/>
        <v>1.018</v>
      </c>
      <c r="H6" s="7">
        <v>2.2799999999999998</v>
      </c>
      <c r="I6" s="7">
        <v>73.599999999999994</v>
      </c>
      <c r="K6">
        <v>3879.11328125</v>
      </c>
    </row>
    <row r="7" spans="1:11" ht="17" x14ac:dyDescent="0.2">
      <c r="A7" s="6" t="s">
        <v>10</v>
      </c>
      <c r="B7" s="7">
        <v>-79.783332999999999</v>
      </c>
      <c r="C7" s="7">
        <v>-112.13333299999999</v>
      </c>
      <c r="D7" s="7">
        <v>0.14799999999999999</v>
      </c>
      <c r="E7" s="7">
        <v>0.96</v>
      </c>
      <c r="F7" s="7">
        <v>1</v>
      </c>
      <c r="G7" s="7">
        <f t="shared" si="0"/>
        <v>0.14207999999999998</v>
      </c>
      <c r="H7" s="7">
        <v>23.916</v>
      </c>
      <c r="I7" s="7">
        <v>107.75</v>
      </c>
      <c r="K7">
        <v>1627.80932617187</v>
      </c>
    </row>
    <row r="8" spans="1:11" ht="17" x14ac:dyDescent="0.2">
      <c r="A8" s="6" t="s">
        <v>11</v>
      </c>
      <c r="B8" s="7">
        <v>-75</v>
      </c>
      <c r="C8" s="7">
        <v>0</v>
      </c>
      <c r="D8" s="7">
        <v>0.38700000000000001</v>
      </c>
      <c r="E8" s="7">
        <v>0.91</v>
      </c>
      <c r="F8" s="7">
        <v>1.1339999999999999</v>
      </c>
      <c r="G8" s="7">
        <f t="shared" si="0"/>
        <v>0.39936077999999997</v>
      </c>
      <c r="H8" s="7">
        <v>6.5279999999999996</v>
      </c>
      <c r="I8" s="7">
        <v>82.668999999999997</v>
      </c>
      <c r="K8">
        <v>2677.328125</v>
      </c>
    </row>
    <row r="9" spans="1:11" ht="17" x14ac:dyDescent="0.2">
      <c r="A9" s="27" t="s">
        <v>34</v>
      </c>
      <c r="B9" s="28">
        <v>-75.099999999999994</v>
      </c>
      <c r="C9" s="28">
        <v>123.35</v>
      </c>
      <c r="D9" s="28">
        <v>0.61399999999999999</v>
      </c>
      <c r="E9" s="28">
        <v>0.96</v>
      </c>
      <c r="F9" s="28">
        <v>0.94799999999999995</v>
      </c>
      <c r="G9" s="7">
        <f t="shared" si="0"/>
        <v>0.55878911999999992</v>
      </c>
      <c r="H9" s="28">
        <v>2.8</v>
      </c>
      <c r="I9" s="28">
        <v>49.613999999999997</v>
      </c>
      <c r="K9">
        <v>3165.26342773437</v>
      </c>
    </row>
    <row r="10" spans="1:11" ht="17" x14ac:dyDescent="0.2">
      <c r="A10" s="6" t="s">
        <v>14</v>
      </c>
      <c r="B10" s="5">
        <v>-81.654302999999999</v>
      </c>
      <c r="C10" s="7">
        <v>-149.005134</v>
      </c>
      <c r="D10" s="7">
        <v>0.23599999999999999</v>
      </c>
      <c r="E10" s="7">
        <v>1</v>
      </c>
      <c r="F10" s="7">
        <v>1</v>
      </c>
      <c r="G10" s="7">
        <f t="shared" si="0"/>
        <v>0.23599999999999999</v>
      </c>
      <c r="H10" s="7">
        <v>15</v>
      </c>
      <c r="I10" s="7">
        <v>112.253</v>
      </c>
      <c r="K10">
        <v>305.48593139648398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0FBD-60AA-9F4A-9FDB-53E1CA4856B5}">
  <dimension ref="A1:H18"/>
  <sheetViews>
    <sheetView workbookViewId="0">
      <selection activeCell="D6" sqref="D6"/>
    </sheetView>
  </sheetViews>
  <sheetFormatPr baseColWidth="10" defaultRowHeight="16" x14ac:dyDescent="0.2"/>
  <cols>
    <col min="1" max="1" width="13.33203125" customWidth="1"/>
    <col min="3" max="3" width="11.33203125" bestFit="1" customWidth="1"/>
    <col min="6" max="6" width="17.83203125" bestFit="1" customWidth="1"/>
    <col min="7" max="7" width="20" bestFit="1" customWidth="1"/>
    <col min="8" max="8" width="19.5" bestFit="1" customWidth="1"/>
  </cols>
  <sheetData>
    <row r="1" spans="1:8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18</v>
      </c>
      <c r="G1" s="8" t="s">
        <v>23</v>
      </c>
      <c r="H1" s="8" t="s">
        <v>24</v>
      </c>
    </row>
    <row r="2" spans="1:8" ht="17" x14ac:dyDescent="0.2">
      <c r="A2" s="6" t="s">
        <v>5</v>
      </c>
      <c r="B2" s="7">
        <v>-78.466667000000001</v>
      </c>
      <c r="C2" s="7">
        <v>106.8</v>
      </c>
      <c r="D2" s="7">
        <v>0.86499999999999999</v>
      </c>
      <c r="E2" s="7">
        <v>2.09</v>
      </c>
      <c r="F2" s="7">
        <v>57.394723490613899</v>
      </c>
      <c r="G2" s="9">
        <v>9.2109039999999993</v>
      </c>
      <c r="H2" s="9">
        <v>13.472623</v>
      </c>
    </row>
    <row r="3" spans="1:8" ht="17" x14ac:dyDescent="0.2">
      <c r="A3" s="6" t="s">
        <v>6</v>
      </c>
      <c r="B3" s="7">
        <v>-74.650000000000006</v>
      </c>
      <c r="C3" s="7">
        <v>124.166667</v>
      </c>
      <c r="D3" s="7">
        <v>0.5</v>
      </c>
      <c r="E3" s="7">
        <v>3.7</v>
      </c>
      <c r="F3" s="7">
        <v>60.248604769152713</v>
      </c>
      <c r="G3" s="9">
        <v>16.798249999999999</v>
      </c>
      <c r="H3" s="9">
        <v>40.316467000000003</v>
      </c>
    </row>
    <row r="4" spans="1:8" ht="17" x14ac:dyDescent="0.2">
      <c r="A4" s="6" t="s">
        <v>7</v>
      </c>
      <c r="B4" s="7">
        <v>-90</v>
      </c>
      <c r="C4" s="7">
        <v>0</v>
      </c>
      <c r="D4" s="7">
        <v>0.38</v>
      </c>
      <c r="E4" s="7">
        <v>7.2</v>
      </c>
      <c r="F4" s="7">
        <v>86.884830035514966</v>
      </c>
      <c r="G4" s="9">
        <v>7.3145119999999997</v>
      </c>
      <c r="H4" s="9">
        <v>7.7275619999999998</v>
      </c>
    </row>
    <row r="5" spans="1:8" ht="17" x14ac:dyDescent="0.2">
      <c r="A5" s="6" t="s">
        <v>8</v>
      </c>
      <c r="B5" s="7">
        <v>-77.316666999999995</v>
      </c>
      <c r="C5" s="7">
        <v>39.700000000000003</v>
      </c>
      <c r="D5" s="7">
        <v>0.95</v>
      </c>
      <c r="E5" s="7">
        <v>3.18</v>
      </c>
      <c r="F5" s="7">
        <v>96.080669710806703</v>
      </c>
      <c r="G5" s="9">
        <v>11.249456</v>
      </c>
      <c r="H5" s="9">
        <v>25.952894000000001</v>
      </c>
    </row>
    <row r="6" spans="1:8" ht="17" x14ac:dyDescent="0.2">
      <c r="A6" s="6" t="s">
        <v>17</v>
      </c>
      <c r="B6" s="7">
        <v>-80.366667000000007</v>
      </c>
      <c r="C6" s="7">
        <v>77.349999999999994</v>
      </c>
      <c r="D6" s="1">
        <v>0.91520000000000001</v>
      </c>
      <c r="E6" s="7"/>
      <c r="F6" s="7">
        <v>70.395738203957393</v>
      </c>
      <c r="G6" s="9">
        <v>14.435978</v>
      </c>
      <c r="H6" s="9">
        <v>26.627464</v>
      </c>
    </row>
    <row r="7" spans="1:8" ht="17" x14ac:dyDescent="0.2">
      <c r="A7" s="6" t="s">
        <v>9</v>
      </c>
      <c r="B7" s="7">
        <v>-77.8</v>
      </c>
      <c r="C7" s="7">
        <v>158.716667</v>
      </c>
      <c r="D7" s="7">
        <v>0.21</v>
      </c>
      <c r="E7" s="7">
        <v>6</v>
      </c>
      <c r="F7" s="7">
        <v>39.954337899543376</v>
      </c>
      <c r="G7" s="9">
        <v>23.481182</v>
      </c>
      <c r="H7" s="9">
        <v>47.687759999999997</v>
      </c>
    </row>
    <row r="8" spans="1:8" ht="17" x14ac:dyDescent="0.2">
      <c r="A8" s="6" t="s">
        <v>10</v>
      </c>
      <c r="B8" s="7">
        <v>-79.783332999999999</v>
      </c>
      <c r="C8" s="7">
        <v>-112.13333299999999</v>
      </c>
      <c r="D8" s="7">
        <v>0.14299999999999999</v>
      </c>
      <c r="E8" s="7">
        <v>23.3</v>
      </c>
      <c r="F8" s="7">
        <v>105.59360730593608</v>
      </c>
      <c r="G8" s="9">
        <v>61.505519999999997</v>
      </c>
      <c r="H8" s="9">
        <v>103.43337</v>
      </c>
    </row>
    <row r="9" spans="1:8" ht="17" x14ac:dyDescent="0.2">
      <c r="A9" s="6" t="s">
        <v>11</v>
      </c>
      <c r="B9" s="7">
        <v>-75</v>
      </c>
      <c r="C9" s="7">
        <v>0</v>
      </c>
      <c r="D9" s="7">
        <v>0.38</v>
      </c>
      <c r="E9" s="7">
        <v>6.99</v>
      </c>
      <c r="F9" s="7">
        <v>84.348046676813794</v>
      </c>
      <c r="G9" s="9">
        <v>38.088684000000001</v>
      </c>
      <c r="H9" s="9">
        <v>61.457484999999998</v>
      </c>
    </row>
    <row r="10" spans="1:8" ht="17" x14ac:dyDescent="0.2">
      <c r="A10" s="6" t="s">
        <v>12</v>
      </c>
      <c r="B10" s="7">
        <v>-66.783332999999999</v>
      </c>
      <c r="C10" s="7">
        <v>112.816667</v>
      </c>
      <c r="D10" s="7">
        <v>5.8999999999999997E-2</v>
      </c>
      <c r="E10" s="7">
        <v>68</v>
      </c>
      <c r="F10" s="7">
        <v>126.83916793505834</v>
      </c>
      <c r="G10" s="9">
        <v>147.87816000000001</v>
      </c>
      <c r="H10" s="9">
        <v>198.47897</v>
      </c>
    </row>
    <row r="11" spans="1:8" ht="17" x14ac:dyDescent="0.2">
      <c r="A11" s="6" t="s">
        <v>13</v>
      </c>
      <c r="B11" s="7">
        <v>-72.816666999999995</v>
      </c>
      <c r="C11" s="7">
        <v>159.183333</v>
      </c>
      <c r="D11" s="7"/>
      <c r="E11" s="7"/>
      <c r="F11" s="7"/>
      <c r="G11" s="9">
        <v>32.845345000000002</v>
      </c>
      <c r="H11" s="9">
        <v>65.216149999999999</v>
      </c>
    </row>
    <row r="12" spans="1:8" ht="17" x14ac:dyDescent="0.2">
      <c r="A12" s="6" t="s">
        <v>14</v>
      </c>
      <c r="B12" s="5">
        <v>-81.654302999999999</v>
      </c>
      <c r="C12" s="7">
        <v>-149.005134</v>
      </c>
      <c r="D12" s="7">
        <v>0.20799999999999999</v>
      </c>
      <c r="E12" s="7">
        <v>15</v>
      </c>
      <c r="F12" s="7">
        <v>98.93455098934551</v>
      </c>
      <c r="G12" s="9">
        <v>26.942898</v>
      </c>
      <c r="H12" s="9">
        <v>76.644940000000005</v>
      </c>
    </row>
    <row r="13" spans="1:8" x14ac:dyDescent="0.2">
      <c r="A13" s="3"/>
      <c r="B13" s="1"/>
      <c r="C13" s="1"/>
      <c r="D13" s="1"/>
      <c r="E13" s="1"/>
      <c r="F13" s="1"/>
    </row>
    <row r="14" spans="1:8" x14ac:dyDescent="0.2">
      <c r="F14" s="10">
        <f>AVERAGE(F2:F12)</f>
        <v>82.667427701674285</v>
      </c>
    </row>
    <row r="16" spans="1:8" x14ac:dyDescent="0.2">
      <c r="A16" s="13" t="s">
        <v>3</v>
      </c>
      <c r="B16" s="13" t="s">
        <v>21</v>
      </c>
    </row>
    <row r="17" spans="1:2" x14ac:dyDescent="0.2">
      <c r="A17" s="13" t="s">
        <v>4</v>
      </c>
      <c r="B17" s="13" t="s">
        <v>22</v>
      </c>
    </row>
    <row r="18" spans="1:2" x14ac:dyDescent="0.2">
      <c r="A18" s="13" t="s">
        <v>19</v>
      </c>
      <c r="B18" s="1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12C5-54A0-644F-B289-09AE1F0A9852}">
  <dimension ref="A1:P19"/>
  <sheetViews>
    <sheetView workbookViewId="0">
      <selection sqref="A1:P19"/>
    </sheetView>
  </sheetViews>
  <sheetFormatPr baseColWidth="10" defaultRowHeight="16" x14ac:dyDescent="0.2"/>
  <cols>
    <col min="1" max="1" width="13.1640625" customWidth="1"/>
    <col min="4" max="4" width="25.33203125" bestFit="1" customWidth="1"/>
    <col min="5" max="5" width="27.83203125" customWidth="1"/>
    <col min="6" max="6" width="8.33203125" bestFit="1" customWidth="1"/>
    <col min="7" max="7" width="10" bestFit="1" customWidth="1"/>
    <col min="8" max="8" width="27.83203125" customWidth="1"/>
    <col min="9" max="9" width="14.33203125" bestFit="1" customWidth="1"/>
    <col min="10" max="10" width="26.83203125" bestFit="1" customWidth="1"/>
    <col min="11" max="11" width="28.5" bestFit="1" customWidth="1"/>
    <col min="12" max="12" width="29.1640625" bestFit="1" customWidth="1"/>
    <col min="13" max="13" width="28.83203125" bestFit="1" customWidth="1"/>
    <col min="14" max="14" width="28.33203125" bestFit="1" customWidth="1"/>
    <col min="15" max="15" width="22.33203125" bestFit="1" customWidth="1"/>
    <col min="16" max="16" width="32" bestFit="1" customWidth="1"/>
  </cols>
  <sheetData>
    <row r="1" spans="1:16" x14ac:dyDescent="0.2">
      <c r="A1" s="4" t="s">
        <v>0</v>
      </c>
      <c r="B1" s="5" t="s">
        <v>1</v>
      </c>
      <c r="C1" s="5" t="s">
        <v>2</v>
      </c>
      <c r="D1" s="5" t="s">
        <v>32</v>
      </c>
      <c r="E1" s="5" t="s">
        <v>15</v>
      </c>
      <c r="F1" s="5" t="s">
        <v>36</v>
      </c>
      <c r="G1" s="5" t="s">
        <v>35</v>
      </c>
      <c r="H1" s="5" t="s">
        <v>33</v>
      </c>
      <c r="I1" s="5" t="s">
        <v>16</v>
      </c>
      <c r="J1" s="5" t="s">
        <v>25</v>
      </c>
      <c r="K1" s="12" t="s">
        <v>26</v>
      </c>
      <c r="L1" s="12" t="s">
        <v>27</v>
      </c>
      <c r="M1" s="12" t="s">
        <v>28</v>
      </c>
      <c r="N1" s="11" t="s">
        <v>29</v>
      </c>
      <c r="O1" s="8" t="s">
        <v>30</v>
      </c>
      <c r="P1" s="11" t="s">
        <v>31</v>
      </c>
    </row>
    <row r="2" spans="1:16" ht="17" x14ac:dyDescent="0.2">
      <c r="A2" s="6" t="s">
        <v>5</v>
      </c>
      <c r="B2" s="7">
        <v>-78.466667000000001</v>
      </c>
      <c r="C2" s="7">
        <v>106.8</v>
      </c>
      <c r="D2" s="15">
        <v>3413.8125</v>
      </c>
      <c r="E2" s="7">
        <v>0.88</v>
      </c>
      <c r="F2" s="7">
        <v>1</v>
      </c>
      <c r="G2" s="7">
        <v>1</v>
      </c>
      <c r="H2" s="7">
        <f>E2*G2*F2</f>
        <v>0.88</v>
      </c>
      <c r="I2" s="7">
        <v>2.09</v>
      </c>
      <c r="J2" s="7">
        <v>57.394723490613899</v>
      </c>
      <c r="K2" s="12">
        <v>0.197496518492698</v>
      </c>
      <c r="L2" s="12">
        <v>27.987136840820298</v>
      </c>
      <c r="M2" s="12">
        <v>16.649114608764599</v>
      </c>
      <c r="N2" s="11">
        <v>44.833747863769503</v>
      </c>
      <c r="O2" s="9">
        <v>1.7304858184616001</v>
      </c>
      <c r="P2" s="14">
        <v>0.81704056000000003</v>
      </c>
    </row>
    <row r="3" spans="1:16" ht="17" x14ac:dyDescent="0.2">
      <c r="A3" s="6" t="s">
        <v>6</v>
      </c>
      <c r="B3" s="7">
        <v>-74.650000000000006</v>
      </c>
      <c r="C3" s="7">
        <v>124.166667</v>
      </c>
      <c r="D3" s="15">
        <v>3165.26343</v>
      </c>
      <c r="E3" s="7">
        <v>0.45400000000000001</v>
      </c>
      <c r="F3" s="7">
        <v>1</v>
      </c>
      <c r="G3" s="7">
        <v>1.1339999999999999</v>
      </c>
      <c r="H3" s="7">
        <f t="shared" ref="H3:H13" si="0">E3*G3*F3</f>
        <v>0.51483599999999996</v>
      </c>
      <c r="I3" s="7">
        <v>2.9220000000000002</v>
      </c>
      <c r="J3" s="7">
        <v>60.248604769152713</v>
      </c>
      <c r="K3" s="12">
        <v>0.12054838240146599</v>
      </c>
      <c r="L3" s="12">
        <v>38.174911499023402</v>
      </c>
      <c r="M3" s="12">
        <v>15.83447265625</v>
      </c>
      <c r="N3" s="11">
        <v>54.129932403564403</v>
      </c>
      <c r="O3" s="9">
        <v>2.9688781046388599</v>
      </c>
      <c r="P3" s="14">
        <v>0.57497865000000004</v>
      </c>
    </row>
    <row r="4" spans="1:16" ht="17" x14ac:dyDescent="0.2">
      <c r="A4" s="6" t="s">
        <v>7</v>
      </c>
      <c r="B4" s="7">
        <v>-90</v>
      </c>
      <c r="C4" s="7">
        <v>0</v>
      </c>
      <c r="D4" s="15">
        <v>2579.3864699999999</v>
      </c>
      <c r="E4" s="7">
        <v>0.39</v>
      </c>
      <c r="F4" s="7">
        <v>1</v>
      </c>
      <c r="G4" s="7">
        <v>1</v>
      </c>
      <c r="H4" s="7">
        <f t="shared" si="0"/>
        <v>0.39</v>
      </c>
      <c r="I4" s="7">
        <v>7.2</v>
      </c>
      <c r="J4" s="7">
        <v>86.884830035514966</v>
      </c>
      <c r="K4" s="12">
        <v>0.22866730391979201</v>
      </c>
      <c r="L4" s="12">
        <v>76.403358459472599</v>
      </c>
      <c r="M4" s="12">
        <v>8.3146467208862305</v>
      </c>
      <c r="N4" s="11">
        <v>84.946670532226506</v>
      </c>
      <c r="O4" s="9">
        <v>5.7648198629976797</v>
      </c>
      <c r="P4" s="14">
        <v>0.46469417000000002</v>
      </c>
    </row>
    <row r="5" spans="1:16" ht="17" x14ac:dyDescent="0.2">
      <c r="A5" s="6" t="s">
        <v>8</v>
      </c>
      <c r="B5" s="7">
        <v>-77.316666999999995</v>
      </c>
      <c r="C5" s="7">
        <v>39.700000000000003</v>
      </c>
      <c r="D5" s="15">
        <v>3666.4487300000001</v>
      </c>
      <c r="E5" s="7">
        <v>0.97499999999999998</v>
      </c>
      <c r="F5" s="7">
        <v>0.89</v>
      </c>
      <c r="G5" s="7">
        <v>1</v>
      </c>
      <c r="H5" s="7">
        <f t="shared" si="0"/>
        <v>0.86775000000000002</v>
      </c>
      <c r="I5" s="7">
        <v>3.1739999999999999</v>
      </c>
      <c r="J5" s="7">
        <v>96.080669710806703</v>
      </c>
      <c r="K5" s="12">
        <v>0.106465183198452</v>
      </c>
      <c r="L5" s="12">
        <v>38.389141082763601</v>
      </c>
      <c r="M5" s="12">
        <v>17.6633911132812</v>
      </c>
      <c r="N5" s="11">
        <v>56.1589965820312</v>
      </c>
      <c r="O5" s="9">
        <v>2.5675507169580598</v>
      </c>
      <c r="P5" s="14">
        <v>0.68977416000000003</v>
      </c>
    </row>
    <row r="6" spans="1:16" ht="17" x14ac:dyDescent="0.2">
      <c r="A6" s="6" t="s">
        <v>17</v>
      </c>
      <c r="B6" s="7">
        <v>-80.366667000000007</v>
      </c>
      <c r="C6" s="7">
        <v>77.349999999999994</v>
      </c>
      <c r="D6" s="15">
        <v>3879.11328</v>
      </c>
      <c r="E6" s="2">
        <v>1.018</v>
      </c>
      <c r="F6" s="2">
        <v>1</v>
      </c>
      <c r="G6" s="2">
        <v>1</v>
      </c>
      <c r="H6" s="7">
        <f t="shared" si="0"/>
        <v>1.018</v>
      </c>
      <c r="I6" s="7">
        <v>2.2799999999999998</v>
      </c>
      <c r="J6" s="7">
        <v>70.395738203957393</v>
      </c>
      <c r="K6" s="12">
        <v>0.112492285668849</v>
      </c>
      <c r="L6" s="12">
        <v>41.208629608154297</v>
      </c>
      <c r="M6" s="12">
        <v>19.840227127075099</v>
      </c>
      <c r="N6" s="11">
        <v>61.161350250244098</v>
      </c>
      <c r="O6" s="9">
        <v>2.5037544508449998</v>
      </c>
      <c r="P6" s="14">
        <v>0.77035677000000002</v>
      </c>
    </row>
    <row r="7" spans="1:16" s="18" customFormat="1" ht="17" customHeight="1" x14ac:dyDescent="0.2">
      <c r="A7" s="16" t="s">
        <v>9</v>
      </c>
      <c r="B7" s="17">
        <v>-77.8</v>
      </c>
      <c r="C7" s="17">
        <v>158.716667</v>
      </c>
      <c r="E7" s="17">
        <v>0.21</v>
      </c>
      <c r="F7" s="17"/>
      <c r="G7" s="17"/>
      <c r="H7" s="7"/>
      <c r="I7" s="17">
        <v>6</v>
      </c>
      <c r="J7" s="17">
        <v>39.954337899543376</v>
      </c>
      <c r="K7" s="18">
        <v>0.56756204366683904</v>
      </c>
      <c r="L7" s="18">
        <v>72.765327453613196</v>
      </c>
      <c r="M7" s="18">
        <v>10.1309299468994</v>
      </c>
      <c r="N7" s="19">
        <v>83.463821411132798</v>
      </c>
      <c r="O7" s="19">
        <v>9.3030094260029692</v>
      </c>
      <c r="P7" s="19">
        <v>0.28293157000000002</v>
      </c>
    </row>
    <row r="8" spans="1:16" ht="17" x14ac:dyDescent="0.2">
      <c r="A8" s="6" t="s">
        <v>10</v>
      </c>
      <c r="B8" s="7">
        <v>-79.783332999999999</v>
      </c>
      <c r="C8" s="7">
        <v>-112.13333299999999</v>
      </c>
      <c r="D8" s="15">
        <v>1627.80933</v>
      </c>
      <c r="E8" s="7">
        <v>0.14799999999999999</v>
      </c>
      <c r="F8" s="7">
        <v>0.96</v>
      </c>
      <c r="G8" s="7">
        <v>1</v>
      </c>
      <c r="H8" s="7">
        <f t="shared" si="0"/>
        <v>0.14207999999999998</v>
      </c>
      <c r="I8" s="7">
        <v>23.916</v>
      </c>
      <c r="J8" s="7">
        <v>105.59360730593608</v>
      </c>
      <c r="K8" s="12">
        <v>0.13381157815456299</v>
      </c>
      <c r="L8" s="12">
        <v>124.23064422607401</v>
      </c>
      <c r="M8" s="12">
        <v>4.0227527618408203</v>
      </c>
      <c r="N8" s="11">
        <v>128.38720703125</v>
      </c>
      <c r="O8" s="9">
        <v>17.359242868406</v>
      </c>
      <c r="P8" s="14">
        <v>0.23323706999999999</v>
      </c>
    </row>
    <row r="9" spans="1:16" ht="17" x14ac:dyDescent="0.2">
      <c r="A9" s="6" t="s">
        <v>11</v>
      </c>
      <c r="B9" s="7">
        <v>-75</v>
      </c>
      <c r="C9" s="7">
        <v>0</v>
      </c>
      <c r="D9" s="15">
        <v>2677.3281299999999</v>
      </c>
      <c r="E9" s="7">
        <v>0.38700000000000001</v>
      </c>
      <c r="F9" s="7">
        <v>0.91</v>
      </c>
      <c r="G9" s="7">
        <v>1.1339999999999999</v>
      </c>
      <c r="H9" s="7">
        <f t="shared" si="0"/>
        <v>0.39936077999999997</v>
      </c>
      <c r="I9" s="7">
        <v>6.5279999999999996</v>
      </c>
      <c r="J9" s="7">
        <v>84.348046676813794</v>
      </c>
      <c r="K9" s="12">
        <v>0.205066919326782</v>
      </c>
      <c r="L9" s="12">
        <v>78.550788879394503</v>
      </c>
      <c r="M9" s="12">
        <v>9.19537353515625</v>
      </c>
      <c r="N9" s="11">
        <v>87.951232910156193</v>
      </c>
      <c r="O9" s="9">
        <v>5.7474888702927203</v>
      </c>
      <c r="P9" s="14">
        <v>0.48258119999999999</v>
      </c>
    </row>
    <row r="10" spans="1:16" s="26" customFormat="1" ht="17" x14ac:dyDescent="0.2">
      <c r="A10" s="20" t="s">
        <v>12</v>
      </c>
      <c r="B10" s="21">
        <v>-66.783332999999999</v>
      </c>
      <c r="C10" s="21">
        <v>112.816667</v>
      </c>
      <c r="D10" s="22">
        <v>1872.7627</v>
      </c>
      <c r="E10" s="21">
        <v>5.8999999999999997E-2</v>
      </c>
      <c r="F10" s="21"/>
      <c r="G10" s="21"/>
      <c r="H10" s="7"/>
      <c r="I10" s="21">
        <v>68</v>
      </c>
      <c r="J10" s="21">
        <v>126.83916793505834</v>
      </c>
      <c r="K10" s="23">
        <v>0.51403963565826405</v>
      </c>
      <c r="L10" s="23">
        <v>259.76788330078102</v>
      </c>
      <c r="M10" s="23">
        <v>5.4033722877502397</v>
      </c>
      <c r="N10" s="24">
        <v>265.685302734375</v>
      </c>
      <c r="O10" s="25">
        <v>80.533648296841406</v>
      </c>
      <c r="P10" s="24">
        <v>0.10403914</v>
      </c>
    </row>
    <row r="11" spans="1:16" s="26" customFormat="1" ht="17" x14ac:dyDescent="0.2">
      <c r="A11" s="20" t="s">
        <v>13</v>
      </c>
      <c r="B11" s="21">
        <v>-72.816666999999995</v>
      </c>
      <c r="C11" s="21">
        <v>159.183333</v>
      </c>
      <c r="E11" s="21"/>
      <c r="F11" s="21"/>
      <c r="G11" s="21"/>
      <c r="H11" s="7"/>
      <c r="I11" s="21"/>
      <c r="J11" s="21"/>
      <c r="K11" s="23">
        <v>0.44260451197624201</v>
      </c>
      <c r="L11" s="23">
        <v>72.707199096679602</v>
      </c>
      <c r="M11" s="23">
        <v>9.16249275207519</v>
      </c>
      <c r="N11" s="24">
        <v>82.312294006347599</v>
      </c>
      <c r="O11" s="25">
        <v>8.9584998371719795</v>
      </c>
      <c r="P11" s="24">
        <v>0.28975837999999998</v>
      </c>
    </row>
    <row r="12" spans="1:16" s="29" customFormat="1" ht="17" x14ac:dyDescent="0.2">
      <c r="A12" s="27" t="s">
        <v>34</v>
      </c>
      <c r="B12" s="28">
        <v>-75.099999999999994</v>
      </c>
      <c r="C12" s="28">
        <v>123.35</v>
      </c>
      <c r="E12" s="28">
        <v>0.61399999999999999</v>
      </c>
      <c r="F12" s="28">
        <v>0.96</v>
      </c>
      <c r="G12" s="28">
        <v>0.94799999999999995</v>
      </c>
      <c r="H12" s="7">
        <f t="shared" si="0"/>
        <v>0.55878911999999992</v>
      </c>
      <c r="I12" s="28"/>
      <c r="J12" s="28"/>
      <c r="N12" s="30"/>
      <c r="O12" s="30"/>
      <c r="P12" s="30"/>
    </row>
    <row r="13" spans="1:16" ht="17" x14ac:dyDescent="0.2">
      <c r="A13" s="6" t="s">
        <v>14</v>
      </c>
      <c r="B13" s="5">
        <v>-81.654302999999999</v>
      </c>
      <c r="C13" s="7">
        <v>-149.005134</v>
      </c>
      <c r="D13" s="15">
        <v>305.48593099999999</v>
      </c>
      <c r="E13" s="7">
        <v>0.23599999999999999</v>
      </c>
      <c r="F13" s="7">
        <v>1</v>
      </c>
      <c r="G13" s="7">
        <v>1</v>
      </c>
      <c r="H13" s="7">
        <f t="shared" si="0"/>
        <v>0.23599999999999999</v>
      </c>
      <c r="I13" s="7">
        <v>15</v>
      </c>
      <c r="J13" s="7">
        <v>98.93455098934551</v>
      </c>
      <c r="K13" s="12">
        <v>8.4638305008411394E-2</v>
      </c>
      <c r="L13" s="12">
        <v>120.148262023925</v>
      </c>
      <c r="M13" s="12">
        <v>2.96174788475036</v>
      </c>
      <c r="N13" s="11">
        <v>123.194648742675</v>
      </c>
      <c r="O13" s="9">
        <v>15.310834257979799</v>
      </c>
      <c r="P13" s="14">
        <v>0.25374624000000001</v>
      </c>
    </row>
    <row r="14" spans="1:16" x14ac:dyDescent="0.2">
      <c r="A14" s="3"/>
      <c r="B14" s="1"/>
      <c r="C14" s="1"/>
      <c r="D14" s="1"/>
      <c r="E14" s="1"/>
      <c r="F14" s="1"/>
      <c r="G14" s="1"/>
      <c r="H14" s="1"/>
      <c r="I14" s="1"/>
      <c r="J14" s="1"/>
    </row>
    <row r="15" spans="1:16" x14ac:dyDescent="0.2">
      <c r="J15" s="10">
        <f>AVERAGE(J2:J13)</f>
        <v>82.667427701674285</v>
      </c>
    </row>
    <row r="17" spans="1:2" x14ac:dyDescent="0.2">
      <c r="A17" s="13" t="s">
        <v>3</v>
      </c>
      <c r="B17" s="13" t="s">
        <v>21</v>
      </c>
    </row>
    <row r="18" spans="1:2" x14ac:dyDescent="0.2">
      <c r="A18" s="13" t="s">
        <v>4</v>
      </c>
      <c r="B18" s="13" t="s">
        <v>22</v>
      </c>
    </row>
    <row r="19" spans="1:2" x14ac:dyDescent="0.2">
      <c r="A19" s="13" t="s">
        <v>19</v>
      </c>
      <c r="B19" s="13" t="s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4F42-A039-AB48-8ED6-ECE8DCDD301A}">
  <dimension ref="A1:P16"/>
  <sheetViews>
    <sheetView tabSelected="1" workbookViewId="0">
      <selection activeCell="A11" sqref="A11"/>
    </sheetView>
  </sheetViews>
  <sheetFormatPr baseColWidth="10" defaultRowHeight="16" x14ac:dyDescent="0.2"/>
  <cols>
    <col min="1" max="1" width="12.1640625" bestFit="1" customWidth="1"/>
    <col min="4" max="4" width="27.6640625" bestFit="1" customWidth="1"/>
    <col min="5" max="5" width="27.6640625" customWidth="1"/>
    <col min="6" max="6" width="8.33203125" bestFit="1" customWidth="1"/>
    <col min="8" max="8" width="23.83203125" bestFit="1" customWidth="1"/>
    <col min="9" max="9" width="14.33203125" bestFit="1" customWidth="1"/>
    <col min="10" max="10" width="26.83203125" bestFit="1" customWidth="1"/>
    <col min="11" max="11" width="28.5" bestFit="1" customWidth="1"/>
    <col min="12" max="12" width="29.1640625" bestFit="1" customWidth="1"/>
    <col min="13" max="13" width="28.83203125" bestFit="1" customWidth="1"/>
    <col min="14" max="14" width="28.33203125" bestFit="1" customWidth="1"/>
    <col min="15" max="15" width="22.33203125" bestFit="1" customWidth="1"/>
    <col min="16" max="16" width="32" bestFit="1" customWidth="1"/>
  </cols>
  <sheetData>
    <row r="1" spans="1:16" x14ac:dyDescent="0.2">
      <c r="A1" s="4" t="s">
        <v>0</v>
      </c>
      <c r="B1" s="5" t="s">
        <v>1</v>
      </c>
      <c r="C1" s="5" t="s">
        <v>2</v>
      </c>
      <c r="D1" s="5" t="s">
        <v>39</v>
      </c>
      <c r="E1" s="5" t="s">
        <v>32</v>
      </c>
      <c r="F1" s="5" t="s">
        <v>36</v>
      </c>
      <c r="G1" s="5" t="s">
        <v>35</v>
      </c>
      <c r="H1" s="5" t="s">
        <v>40</v>
      </c>
      <c r="I1" s="5" t="s">
        <v>41</v>
      </c>
      <c r="J1" s="5" t="s">
        <v>18</v>
      </c>
      <c r="K1" s="12" t="s">
        <v>26</v>
      </c>
      <c r="L1" s="12" t="s">
        <v>27</v>
      </c>
      <c r="M1" s="12" t="s">
        <v>28</v>
      </c>
      <c r="N1" s="11" t="s">
        <v>29</v>
      </c>
      <c r="O1" s="8" t="s">
        <v>30</v>
      </c>
      <c r="P1" s="11" t="s">
        <v>31</v>
      </c>
    </row>
    <row r="2" spans="1:16" ht="17" x14ac:dyDescent="0.2">
      <c r="A2" s="6" t="s">
        <v>5</v>
      </c>
      <c r="B2" s="7">
        <v>-78.466667000000001</v>
      </c>
      <c r="C2" s="7">
        <v>106.8</v>
      </c>
      <c r="D2" s="7">
        <v>0.88</v>
      </c>
      <c r="E2">
        <v>3413.8125</v>
      </c>
      <c r="F2" s="7">
        <v>1</v>
      </c>
      <c r="G2" s="7">
        <v>1</v>
      </c>
      <c r="H2" s="7">
        <f>D2*G2*F2</f>
        <v>0.88</v>
      </c>
      <c r="I2" s="7">
        <v>2.0979999999999999</v>
      </c>
      <c r="J2" s="7">
        <v>58.539000000000001</v>
      </c>
      <c r="K2">
        <v>0.197496518492698</v>
      </c>
      <c r="L2">
        <v>27.987136840820298</v>
      </c>
      <c r="M2">
        <v>16.649114608764599</v>
      </c>
      <c r="N2" s="9">
        <v>44.833747863769503</v>
      </c>
      <c r="O2" s="9">
        <v>1.7304858184616001</v>
      </c>
      <c r="P2" s="9">
        <v>0.81704056262969904</v>
      </c>
    </row>
    <row r="3" spans="1:16" ht="17" x14ac:dyDescent="0.2">
      <c r="A3" s="6" t="s">
        <v>6</v>
      </c>
      <c r="B3" s="7">
        <v>-74.650000000000006</v>
      </c>
      <c r="C3" s="7">
        <v>124.166667</v>
      </c>
      <c r="D3" s="7">
        <v>0.45400000000000001</v>
      </c>
      <c r="E3">
        <v>3165.26342773437</v>
      </c>
      <c r="F3" s="7">
        <v>1</v>
      </c>
      <c r="G3" s="7">
        <v>1.1339999999999999</v>
      </c>
      <c r="H3" s="7">
        <f t="shared" ref="H3:H10" si="0">D3*G3*F3</f>
        <v>0.51483599999999996</v>
      </c>
      <c r="I3" s="7">
        <v>2.9220000000000002</v>
      </c>
      <c r="J3" s="7">
        <v>47.698</v>
      </c>
      <c r="K3">
        <v>0.12054838240146599</v>
      </c>
      <c r="L3">
        <v>38.174911499023402</v>
      </c>
      <c r="M3">
        <v>15.83447265625</v>
      </c>
      <c r="N3" s="9">
        <v>54.129932403564403</v>
      </c>
      <c r="O3" s="9">
        <v>2.9688781046388599</v>
      </c>
      <c r="P3" s="9">
        <v>0.57497864961624101</v>
      </c>
    </row>
    <row r="4" spans="1:16" ht="17" x14ac:dyDescent="0.2">
      <c r="A4" s="6" t="s">
        <v>7</v>
      </c>
      <c r="B4" s="7">
        <v>-90</v>
      </c>
      <c r="C4" s="7">
        <v>0</v>
      </c>
      <c r="D4" s="7">
        <v>0.39</v>
      </c>
      <c r="E4">
        <v>2579.38647460937</v>
      </c>
      <c r="F4" s="7">
        <v>1</v>
      </c>
      <c r="G4" s="7">
        <v>1</v>
      </c>
      <c r="H4" s="7">
        <f t="shared" si="0"/>
        <v>0.39</v>
      </c>
      <c r="I4" s="7">
        <v>7.2</v>
      </c>
      <c r="J4" s="7">
        <v>89.042000000000002</v>
      </c>
      <c r="K4">
        <v>0.22866730391979201</v>
      </c>
      <c r="L4">
        <v>76.403358459472599</v>
      </c>
      <c r="M4">
        <v>8.3146467208862305</v>
      </c>
      <c r="N4" s="9">
        <v>84.946670532226506</v>
      </c>
      <c r="O4" s="9">
        <v>5.7648198629976797</v>
      </c>
      <c r="P4" s="9">
        <v>0.46469417214393599</v>
      </c>
    </row>
    <row r="5" spans="1:16" ht="17" x14ac:dyDescent="0.2">
      <c r="A5" s="6" t="s">
        <v>8</v>
      </c>
      <c r="B5" s="7">
        <v>-77.316666999999995</v>
      </c>
      <c r="C5" s="7">
        <v>39.700000000000003</v>
      </c>
      <c r="D5" s="7">
        <v>0.97499999999999998</v>
      </c>
      <c r="E5">
        <v>3666.44873046875</v>
      </c>
      <c r="F5" s="7">
        <v>0.89</v>
      </c>
      <c r="G5" s="7">
        <v>1</v>
      </c>
      <c r="H5" s="7">
        <f t="shared" si="0"/>
        <v>0.86775000000000002</v>
      </c>
      <c r="I5" s="7">
        <v>3.1739999999999999</v>
      </c>
      <c r="J5" s="7">
        <v>87.341999999999999</v>
      </c>
      <c r="K5">
        <v>0.106465183198452</v>
      </c>
      <c r="L5">
        <v>38.389141082763601</v>
      </c>
      <c r="M5">
        <v>17.6633911132812</v>
      </c>
      <c r="N5" s="9">
        <v>56.1589965820312</v>
      </c>
      <c r="O5" s="9">
        <v>2.5675507169580598</v>
      </c>
      <c r="P5" s="9">
        <v>0.68977415561676003</v>
      </c>
    </row>
    <row r="6" spans="1:16" ht="17" x14ac:dyDescent="0.2">
      <c r="A6" s="6" t="s">
        <v>17</v>
      </c>
      <c r="B6" s="7">
        <v>-80.366667000000007</v>
      </c>
      <c r="C6" s="7">
        <v>77.349999999999994</v>
      </c>
      <c r="D6" s="2">
        <v>1.018</v>
      </c>
      <c r="E6">
        <v>3879.11328125</v>
      </c>
      <c r="F6" s="2">
        <v>1</v>
      </c>
      <c r="G6" s="2">
        <v>1</v>
      </c>
      <c r="H6" s="7">
        <f t="shared" si="0"/>
        <v>1.018</v>
      </c>
      <c r="I6" s="7">
        <v>2.2799999999999998</v>
      </c>
      <c r="J6" s="7">
        <v>73.599999999999994</v>
      </c>
      <c r="K6">
        <v>0.112492285668849</v>
      </c>
      <c r="L6">
        <v>41.208629608154297</v>
      </c>
      <c r="M6">
        <v>19.840227127075099</v>
      </c>
      <c r="N6" s="9">
        <v>61.161350250244098</v>
      </c>
      <c r="O6" s="9">
        <v>2.5037544508449998</v>
      </c>
      <c r="P6" s="9">
        <v>0.77035677433013905</v>
      </c>
    </row>
    <row r="7" spans="1:16" ht="17" x14ac:dyDescent="0.2">
      <c r="A7" s="6" t="s">
        <v>10</v>
      </c>
      <c r="B7" s="7">
        <v>-79.783332999999999</v>
      </c>
      <c r="C7" s="7">
        <v>-112.13333299999999</v>
      </c>
      <c r="D7" s="7">
        <v>0.14799999999999999</v>
      </c>
      <c r="E7">
        <v>1627.80932617187</v>
      </c>
      <c r="F7" s="7">
        <v>0.96</v>
      </c>
      <c r="G7" s="7">
        <v>1</v>
      </c>
      <c r="H7" s="7">
        <f t="shared" si="0"/>
        <v>0.14207999999999998</v>
      </c>
      <c r="I7" s="7">
        <v>23.916</v>
      </c>
      <c r="J7" s="7">
        <v>107.75</v>
      </c>
      <c r="K7">
        <v>0.13381157815456299</v>
      </c>
      <c r="L7">
        <v>124.23064422607401</v>
      </c>
      <c r="M7">
        <v>4.0227527618408203</v>
      </c>
      <c r="N7" s="9">
        <v>128.38720703125</v>
      </c>
      <c r="O7" s="9">
        <v>17.359242868406</v>
      </c>
      <c r="P7" s="9">
        <v>0.23323707282543099</v>
      </c>
    </row>
    <row r="8" spans="1:16" ht="17" x14ac:dyDescent="0.2">
      <c r="A8" s="6" t="s">
        <v>11</v>
      </c>
      <c r="B8" s="7">
        <v>-75</v>
      </c>
      <c r="C8" s="7">
        <v>0</v>
      </c>
      <c r="D8" s="7">
        <v>0.38700000000000001</v>
      </c>
      <c r="E8">
        <v>2677.328125</v>
      </c>
      <c r="F8" s="7">
        <v>0.91</v>
      </c>
      <c r="G8" s="7">
        <v>1.1339999999999999</v>
      </c>
      <c r="H8" s="7">
        <f t="shared" si="0"/>
        <v>0.39936077999999997</v>
      </c>
      <c r="I8" s="7">
        <v>6.5279999999999996</v>
      </c>
      <c r="J8" s="7">
        <v>82.668999999999997</v>
      </c>
      <c r="K8">
        <v>0.205066919326782</v>
      </c>
      <c r="L8">
        <v>78.550788879394503</v>
      </c>
      <c r="M8">
        <v>9.19537353515625</v>
      </c>
      <c r="N8" s="9">
        <v>87.951232910156193</v>
      </c>
      <c r="O8" s="9">
        <v>5.7474888702927203</v>
      </c>
      <c r="P8" s="9">
        <v>0.48258119821548401</v>
      </c>
    </row>
    <row r="9" spans="1:16" ht="17" customHeight="1" x14ac:dyDescent="0.2">
      <c r="A9" s="27" t="s">
        <v>34</v>
      </c>
      <c r="B9" s="28">
        <v>-75.099999999999994</v>
      </c>
      <c r="C9" s="28">
        <v>123.35</v>
      </c>
      <c r="D9" s="28">
        <v>0.61399999999999999</v>
      </c>
      <c r="E9">
        <v>3165.26342773437</v>
      </c>
      <c r="F9" s="28">
        <v>0.96</v>
      </c>
      <c r="G9" s="28">
        <v>0.94799999999999995</v>
      </c>
      <c r="H9" s="7">
        <f t="shared" si="0"/>
        <v>0.55878911999999992</v>
      </c>
      <c r="I9" s="28">
        <v>2.8</v>
      </c>
      <c r="J9" s="28">
        <v>49.613999999999997</v>
      </c>
      <c r="K9">
        <v>0.12054838240146599</v>
      </c>
      <c r="L9">
        <v>38.174911499023402</v>
      </c>
      <c r="M9">
        <v>15.83447265625</v>
      </c>
      <c r="N9" s="9">
        <v>54.129932403564403</v>
      </c>
      <c r="O9" s="9">
        <v>2.9688781046388599</v>
      </c>
      <c r="P9" s="9">
        <v>0.57497864961624101</v>
      </c>
    </row>
    <row r="10" spans="1:16" ht="17" x14ac:dyDescent="0.2">
      <c r="A10" s="6" t="s">
        <v>14</v>
      </c>
      <c r="B10" s="5">
        <v>-81.654302999999999</v>
      </c>
      <c r="C10" s="7">
        <v>-149.005134</v>
      </c>
      <c r="D10" s="7">
        <v>0.23599999999999999</v>
      </c>
      <c r="E10">
        <v>305.48593139648398</v>
      </c>
      <c r="F10" s="7">
        <v>1</v>
      </c>
      <c r="G10" s="7">
        <v>1</v>
      </c>
      <c r="H10" s="7">
        <f t="shared" si="0"/>
        <v>0.23599999999999999</v>
      </c>
      <c r="I10" s="7">
        <v>15</v>
      </c>
      <c r="J10" s="7">
        <v>112.253</v>
      </c>
      <c r="K10">
        <v>8.4638305008411394E-2</v>
      </c>
      <c r="L10">
        <v>120.148262023925</v>
      </c>
      <c r="M10">
        <v>2.96174788475036</v>
      </c>
      <c r="N10" s="9">
        <v>123.194648742675</v>
      </c>
      <c r="O10" s="9">
        <v>15.310834257979799</v>
      </c>
      <c r="P10" s="9">
        <v>0.25374624133110002</v>
      </c>
    </row>
    <row r="11" spans="1:16" x14ac:dyDescent="0.2">
      <c r="A11" s="3"/>
    </row>
    <row r="12" spans="1:16" x14ac:dyDescent="0.2">
      <c r="J12" s="31">
        <f>AVERAGE(J2:J10)</f>
        <v>78.723000000000013</v>
      </c>
    </row>
    <row r="14" spans="1:16" x14ac:dyDescent="0.2">
      <c r="A14" s="13" t="s">
        <v>3</v>
      </c>
      <c r="B14" s="13" t="s">
        <v>21</v>
      </c>
    </row>
    <row r="15" spans="1:16" x14ac:dyDescent="0.2">
      <c r="A15" s="13" t="s">
        <v>4</v>
      </c>
      <c r="B15" s="13" t="s">
        <v>22</v>
      </c>
    </row>
    <row r="16" spans="1:16" x14ac:dyDescent="0.2">
      <c r="A16" s="13" t="s">
        <v>19</v>
      </c>
      <c r="B16" s="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 S1</vt:lpstr>
      <vt:lpstr>comparaison ECHAM5-données</vt:lpstr>
      <vt:lpstr>comparaison ECHAM6-données old</vt:lpstr>
      <vt:lpstr>comp ECHAM6-data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Cauquoin</dc:creator>
  <cp:lastModifiedBy>CAUQUOIN ALEXANDRE P</cp:lastModifiedBy>
  <dcterms:created xsi:type="dcterms:W3CDTF">2022-06-13T08:35:25Z</dcterms:created>
  <dcterms:modified xsi:type="dcterms:W3CDTF">2024-03-29T08:14:58Z</dcterms:modified>
</cp:coreProperties>
</file>